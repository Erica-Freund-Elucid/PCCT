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te 1 - Technical" sheetId="2" state="visible" r:id="rId2"/>
    <sheet xmlns:r="http://schemas.openxmlformats.org/officeDocument/2006/relationships" name="Gate 2 - Workflow" sheetId="3" state="visible" r:id="rId3"/>
    <sheet xmlns:r="http://schemas.openxmlformats.org/officeDocument/2006/relationships" name="Gate 3 - Reproducibility" sheetId="4" state="visible" r:id="rId4"/>
    <sheet xmlns:r="http://schemas.openxmlformats.org/officeDocument/2006/relationships" name="Gate 4 - Bias" sheetId="5" state="visible" r:id="rId5"/>
    <sheet xmlns:r="http://schemas.openxmlformats.org/officeDocument/2006/relationships" name="Advisory" sheetId="6" state="visible" r:id="rId6"/>
  </sheets>
  <definedNames>
    <definedName name="_xlnm._FilterDatabase" localSheetId="1" hidden="1">'Gate 1 - Technical'!$A$4:$J$8</definedName>
    <definedName name="_xlnm._FilterDatabase" localSheetId="2" hidden="1">'Gate 2 - Workflow'!$A$4:$J$10</definedName>
    <definedName name="_xlnm._FilterDatabase" localSheetId="3" hidden="1">'Gate 3 - Reproducibility'!$A$4:$J$8</definedName>
    <definedName name="_xlnm._FilterDatabase" localSheetId="4" hidden="1">'Gate 4 - Bias'!$A$4:$J$7</definedName>
    <definedName name="_xlnm._FilterDatabase" localSheetId="5" hidden="1">'Advisory'!$A$4:$J$10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  <sz val="10"/>
    </font>
    <font>
      <b val="1"/>
      <color rgb="00FFFFFF"/>
      <sz val="11"/>
    </font>
    <font>
      <b val="1"/>
      <color rgb="002F5496"/>
      <sz val="16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PCCT Scanner Qualification — Summary Dashboard</t>
        </is>
      </c>
    </row>
    <row r="3">
      <c r="A3" s="2" t="inlineStr">
        <is>
          <t>Fill in the tracker sheets. This summary auto-updates from status columns.</t>
        </is>
      </c>
    </row>
    <row r="5">
      <c r="A5" s="3" t="inlineStr">
        <is>
          <t>Gate</t>
        </is>
      </c>
      <c r="B5" s="3" t="inlineStr">
        <is>
          <t>Total Criteria</t>
        </is>
      </c>
      <c r="C5" s="3" t="inlineStr">
        <is>
          <t>Pass</t>
        </is>
      </c>
      <c r="D5" s="3" t="inlineStr">
        <is>
          <t>Fail</t>
        </is>
      </c>
      <c r="E5" s="3" t="inlineStr">
        <is>
          <t>In Progress</t>
        </is>
      </c>
      <c r="F5" s="3" t="inlineStr">
        <is>
          <t>Gate Result</t>
        </is>
      </c>
    </row>
    <row r="6">
      <c r="A6" s="4" t="inlineStr">
        <is>
          <t>Gate 1 — Technical Prerequisites</t>
        </is>
      </c>
      <c r="B6" s="5" t="n">
        <v>4</v>
      </c>
      <c r="C6" s="5">
        <f>COUNTIF('Gate 1 - Technical'!F5:F8,"Pass")</f>
        <v/>
      </c>
      <c r="D6" s="5">
        <f>COUNTIF('Gate 1 - Technical'!F5:F8,"Fail")</f>
        <v/>
      </c>
      <c r="E6" s="5">
        <f>COUNTIF('Gate 1 - Technical'!F5:F8,"In progress")</f>
        <v/>
      </c>
      <c r="F6" s="5">
        <f>IF(C6=B6,"PASS",IF(D6&gt;0,"FAIL","PENDING"))</f>
        <v/>
      </c>
    </row>
    <row r="7">
      <c r="A7" s="4" t="inlineStr">
        <is>
          <t>Gate 2 — Workflow Integration</t>
        </is>
      </c>
      <c r="B7" s="5" t="n">
        <v>6</v>
      </c>
      <c r="C7" s="5">
        <f>COUNTIF('Gate 2 - Workflow'!F5:F10,"Pass")</f>
        <v/>
      </c>
      <c r="D7" s="5">
        <f>COUNTIF('Gate 2 - Workflow'!F5:F10,"Fail")</f>
        <v/>
      </c>
      <c r="E7" s="5">
        <f>COUNTIF('Gate 2 - Workflow'!F5:F10,"In progress")</f>
        <v/>
      </c>
      <c r="F7" s="5">
        <f>IF(C7=B7,"PASS",IF(D7&gt;0,"FAIL","PENDING"))</f>
        <v/>
      </c>
    </row>
    <row r="8">
      <c r="A8" s="4" t="inlineStr">
        <is>
          <t>Gate 3 — Reproducibility</t>
        </is>
      </c>
      <c r="B8" s="5" t="n">
        <v>4</v>
      </c>
      <c r="C8" s="5">
        <f>COUNTIF('Gate 3 - Reproducibility'!F5:F8,"Pass")</f>
        <v/>
      </c>
      <c r="D8" s="5">
        <f>COUNTIF('Gate 3 - Reproducibility'!F5:F8,"Fail")</f>
        <v/>
      </c>
      <c r="E8" s="5">
        <f>COUNTIF('Gate 3 - Reproducibility'!F5:F8,"In progress")</f>
        <v/>
      </c>
      <c r="F8" s="5">
        <f>IF(C8=B8,"PASS",IF(D8&gt;0,"FAIL","PENDING"))</f>
        <v/>
      </c>
    </row>
    <row r="9">
      <c r="A9" s="4" t="inlineStr">
        <is>
          <t>Gate 4 — Bias &amp; Agreement</t>
        </is>
      </c>
      <c r="B9" s="5" t="n">
        <v>3</v>
      </c>
      <c r="C9" s="5">
        <f>COUNTIF('Gate 4 - Bias'!F5:F7,"Pass")</f>
        <v/>
      </c>
      <c r="D9" s="5">
        <f>COUNTIF('Gate 4 - Bias'!F5:F7,"Fail")</f>
        <v/>
      </c>
      <c r="E9" s="5">
        <f>COUNTIF('Gate 4 - Bias'!F5:F7,"In progress")</f>
        <v/>
      </c>
      <c r="F9" s="5">
        <f>IF(C9=B9,"PASS",IF(D9&gt;0,"FAIL","PENDING"))</f>
        <v/>
      </c>
    </row>
    <row r="10">
      <c r="A10" s="4" t="inlineStr">
        <is>
          <t>Advisory — Operational Checks</t>
        </is>
      </c>
      <c r="B10" s="5" t="n">
        <v>6</v>
      </c>
      <c r="C10" s="5">
        <f>COUNTIF('Advisory'!F5:F10,"Pass")</f>
        <v/>
      </c>
      <c r="D10" s="5">
        <f>COUNTIF('Advisory'!F5:F10,"Fail")</f>
        <v/>
      </c>
      <c r="E10" s="5">
        <f>COUNTIF('Advisory'!F5:F10,"In progress")</f>
        <v/>
      </c>
      <c r="F10" s="5">
        <f>IF(C10=B10,"PASS",IF(D10&gt;0,"FAIL","PENDING"))</f>
        <v/>
      </c>
    </row>
  </sheetData>
  <mergeCells count="2">
    <mergeCell ref="A3:F3"/>
    <mergeCell ref="A1:F1"/>
  </mergeCells>
  <conditionalFormatting sqref="F6:F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16" customWidth="1" min="5" max="5"/>
    <col width="14" customWidth="1" min="6" max="6"/>
    <col width="30" customWidth="1" min="7" max="7"/>
    <col width="28" customWidth="1" min="8" max="8"/>
    <col width="16" customWidth="1" min="9" max="9"/>
    <col width="36" customWidth="1" min="10" max="10"/>
  </cols>
  <sheetData>
    <row r="1">
      <c r="A1" s="6" t="inlineStr">
        <is>
          <t>Gate 1 — Technical &amp; Image Quality Prerequisites</t>
        </is>
      </c>
    </row>
    <row r="2">
      <c r="A2" s="2" t="inlineStr">
        <is>
          <t>Required — Scanner not eligible without passing all items</t>
        </is>
      </c>
    </row>
    <row r="4">
      <c r="A4" s="3" t="inlineStr">
        <is>
          <t>ID</t>
        </is>
      </c>
      <c r="B4" s="3" t="inlineStr">
        <is>
          <t>Criterion</t>
        </is>
      </c>
      <c r="C4" s="3" t="inlineStr">
        <is>
          <t>Threshold</t>
        </is>
      </c>
      <c r="D4" s="3" t="inlineStr">
        <is>
          <t>Method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Evidence Link / Location</t>
        </is>
      </c>
      <c r="H4" s="3" t="inlineStr">
        <is>
          <t>Evidence Description</t>
        </is>
      </c>
      <c r="I4" s="3" t="inlineStr">
        <is>
          <t>Date Completed</t>
        </is>
      </c>
      <c r="J4" s="3" t="inlineStr">
        <is>
          <t>Notes</t>
        </is>
      </c>
    </row>
    <row r="5">
      <c r="A5" s="4" t="inlineStr">
        <is>
          <t>1.1</t>
        </is>
      </c>
      <c r="B5" s="4" t="inlineStr">
        <is>
          <t>DICOM Compliance</t>
        </is>
      </c>
      <c r="C5" s="4" t="inlineStr">
        <is>
          <t>Full DICOM 3.0; mandatory tags present</t>
        </is>
      </c>
      <c r="D5" s="4" t="inlineStr">
        <is>
          <t>Automated tag validation on ingestion</t>
        </is>
      </c>
      <c r="E5" s="4" t="inlineStr"/>
      <c r="F5" s="5" t="inlineStr">
        <is>
          <t>Not started</t>
        </is>
      </c>
      <c r="G5" s="4" t="inlineStr"/>
      <c r="H5" s="4" t="inlineStr"/>
      <c r="I5" s="4" t="inlineStr"/>
      <c r="J5" s="4" t="inlineStr"/>
    </row>
    <row r="6">
      <c r="A6" s="4" t="inlineStr">
        <is>
          <t>1.2</t>
        </is>
      </c>
      <c r="B6" s="4" t="inlineStr">
        <is>
          <t>Contrast Timing</t>
        </is>
      </c>
      <c r="C6" s="4" t="inlineStr">
        <is>
          <t>Peak aortic HU ≥ 300 in ≥ 90% of cases</t>
        </is>
      </c>
      <c r="D6" s="4" t="inlineStr">
        <is>
          <t>Aortic ROI measurement across paired dataset</t>
        </is>
      </c>
      <c r="E6" s="4" t="inlineStr"/>
      <c r="F6" s="5" t="inlineStr">
        <is>
          <t>Not started</t>
        </is>
      </c>
      <c r="G6" s="4" t="inlineStr"/>
      <c r="H6" s="4" t="inlineStr"/>
      <c r="I6" s="4" t="inlineStr"/>
      <c r="J6" s="4" t="inlineStr"/>
    </row>
    <row r="7">
      <c r="A7" s="4" t="inlineStr">
        <is>
          <t>1.3</t>
        </is>
      </c>
      <c r="B7" s="4" t="inlineStr">
        <is>
          <t>Image Noise (SNR/CNR)</t>
        </is>
      </c>
      <c r="C7" s="4" t="inlineStr">
        <is>
          <t>Non-inferior to reference CTA (±15%)</t>
        </is>
      </c>
      <c r="D7" s="4" t="inlineStr">
        <is>
          <t>Uniform phantom or aortic ROI SD comparison</t>
        </is>
      </c>
      <c r="E7" s="4" t="inlineStr"/>
      <c r="F7" s="5" t="inlineStr">
        <is>
          <t>Not started</t>
        </is>
      </c>
      <c r="G7" s="4" t="inlineStr"/>
      <c r="H7" s="4" t="inlineStr"/>
      <c r="I7" s="4" t="inlineStr"/>
      <c r="J7" s="4" t="inlineStr"/>
    </row>
    <row r="8">
      <c r="A8" s="4" t="inlineStr">
        <is>
          <t>1.4</t>
        </is>
      </c>
      <c r="B8" s="4" t="inlineStr">
        <is>
          <t>Reconstruction Kernel</t>
        </is>
      </c>
      <c r="C8" s="4" t="inlineStr">
        <is>
          <t>Soft-tissue kernel available; sharp kernel documented</t>
        </is>
      </c>
      <c r="D8" s="4" t="inlineStr">
        <is>
          <t>Protocol review + DICOM header</t>
        </is>
      </c>
      <c r="E8" s="4" t="inlineStr">
        <is>
          <t>Murali</t>
        </is>
      </c>
      <c r="F8" s="5" t="inlineStr">
        <is>
          <t>Pass</t>
        </is>
      </c>
      <c r="G8" s="4" t="inlineStr">
        <is>
          <t>https://elucidbio.sharepoint.com/:w:/r/Technology/Documents/IP/PCCT/PT142_combined_analysis_COMPLETE_FINAL_v1.0.docx?d=w0fe5c7e3207c4790930cac6308e7bde7&amp;csf=1&amp;web=1&amp;e=mQv35o</t>
        </is>
      </c>
      <c r="H8" s="4" t="inlineStr"/>
      <c r="I8" s="4" t="inlineStr"/>
      <c r="J8" s="4" t="inlineStr">
        <is>
          <t>Kernel family influences local vessel segment and patient level plaque characterization. Recon settings shoud be standardized for subsequent evaluations especially reproducibility and bias-agreement analyses</t>
        </is>
      </c>
    </row>
  </sheetData>
  <autoFilter ref="A4:J8"/>
  <mergeCells count="2">
    <mergeCell ref="A1:J1"/>
    <mergeCell ref="A2:J2"/>
  </mergeCells>
  <conditionalFormatting sqref="F5:F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3">
      <formula>"Not started"</formula>
    </cfRule>
  </conditionalFormatting>
  <dataValidations count="1">
    <dataValidation sqref="F5 F6 F7 F8 F9 F10" showDropDown="0" showInputMessage="0" showErrorMessage="0" allowBlank="1" errorTitle="Invalid Status" error="Please select a valid status" type="list">
      <formula1>"Not started,In progress,Pass,Fail,Blocked"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16" customWidth="1" min="5" max="5"/>
    <col width="14" customWidth="1" min="6" max="6"/>
    <col width="30" customWidth="1" min="7" max="7"/>
    <col width="28" customWidth="1" min="8" max="8"/>
    <col width="16" customWidth="1" min="9" max="9"/>
    <col width="36" customWidth="1" min="10" max="10"/>
  </cols>
  <sheetData>
    <row r="1">
      <c r="A1" s="6" t="inlineStr">
        <is>
          <t>Gate 2 — Workflow Integration Checks</t>
        </is>
      </c>
    </row>
    <row r="2">
      <c r="A2" s="2" t="inlineStr">
        <is>
          <t>Workflow step — Engineering remediation required before performance testing</t>
        </is>
      </c>
    </row>
    <row r="4">
      <c r="A4" s="3" t="inlineStr">
        <is>
          <t>ID</t>
        </is>
      </c>
      <c r="B4" s="3" t="inlineStr">
        <is>
          <t>Criterion</t>
        </is>
      </c>
      <c r="C4" s="3" t="inlineStr">
        <is>
          <t>Threshold</t>
        </is>
      </c>
      <c r="D4" s="3" t="inlineStr">
        <is>
          <t>Method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Evidence Link / Location</t>
        </is>
      </c>
      <c r="H4" s="3" t="inlineStr">
        <is>
          <t>Evidence Description</t>
        </is>
      </c>
      <c r="I4" s="3" t="inlineStr">
        <is>
          <t>Date Completed</t>
        </is>
      </c>
      <c r="J4" s="3" t="inlineStr">
        <is>
          <t>Notes</t>
        </is>
      </c>
    </row>
    <row r="5">
      <c r="A5" s="4" t="inlineStr">
        <is>
          <t>2.1</t>
        </is>
      </c>
      <c r="B5" s="4" t="inlineStr">
        <is>
          <t>DICOM Ingestion</t>
        </is>
      </c>
      <c r="C5" s="4" t="inlineStr">
        <is>
          <t>100% successful ingestion; zero WIID assignment failures</t>
        </is>
      </c>
      <c r="D5" s="4" t="inlineStr">
        <is>
          <t>Run full paired dataset through ingest pipeline</t>
        </is>
      </c>
      <c r="E5" s="4" t="inlineStr"/>
      <c r="F5" s="5" t="inlineStr">
        <is>
          <t>Not started</t>
        </is>
      </c>
      <c r="G5" s="4" t="inlineStr"/>
      <c r="H5" s="4" t="inlineStr"/>
      <c r="I5" s="4" t="inlineStr"/>
      <c r="J5" s="4" t="inlineStr"/>
    </row>
    <row r="6">
      <c r="A6" s="4" t="inlineStr">
        <is>
          <t>2.2</t>
        </is>
      </c>
      <c r="B6" s="4" t="inlineStr">
        <is>
          <t>Centerline / Vessel Tree</t>
        </is>
      </c>
      <c r="C6" s="4" t="inlineStr">
        <is>
          <t>Extraction success rate ≥ 95%; major vessel coverage equivalent to reference</t>
        </is>
      </c>
      <c r="D6" s="4" t="inlineStr">
        <is>
          <t>Compare vessel segment count and length distribution</t>
        </is>
      </c>
      <c r="E6" s="4" t="inlineStr"/>
      <c r="F6" s="5" t="inlineStr">
        <is>
          <t>Not started</t>
        </is>
      </c>
      <c r="G6" s="4" t="inlineStr"/>
      <c r="H6" s="4" t="inlineStr"/>
      <c r="I6" s="4" t="inlineStr"/>
      <c r="J6" s="4" t="inlineStr"/>
    </row>
    <row r="7">
      <c r="A7" s="4" t="inlineStr">
        <is>
          <t>2.3</t>
        </is>
      </c>
      <c r="B7" s="4" t="inlineStr">
        <is>
          <t>Lumen &amp; Wall Initialization</t>
        </is>
      </c>
      <c r="C7" s="4" t="inlineStr">
        <is>
          <t>Auto-initialization without manual override in ≥ 85% of segments</t>
        </is>
      </c>
      <c r="D7" s="4" t="inlineStr">
        <is>
          <t>Log override frequency per scanner type</t>
        </is>
      </c>
      <c r="E7" s="4" t="inlineStr"/>
      <c r="F7" s="5" t="inlineStr">
        <is>
          <t>Not started</t>
        </is>
      </c>
      <c r="G7" s="4" t="inlineStr"/>
      <c r="H7" s="4" t="inlineStr"/>
      <c r="I7" s="4" t="inlineStr"/>
      <c r="J7" s="4" t="inlineStr"/>
    </row>
    <row r="8">
      <c r="A8" s="4" t="inlineStr">
        <is>
          <t>2.4</t>
        </is>
      </c>
      <c r="B8" s="4" t="inlineStr">
        <is>
          <t>Lumen &amp; Wall Editing</t>
        </is>
      </c>
      <c r="C8" s="4" t="inlineStr">
        <is>
          <t>Edit rate not significantly higher than reference CTA (95% CI overlap)</t>
        </is>
      </c>
      <c r="D8" s="4" t="inlineStr">
        <is>
          <t>Track editing events per case; include cases Carolyn already completed</t>
        </is>
      </c>
      <c r="E8" s="4" t="inlineStr"/>
      <c r="F8" s="5" t="inlineStr">
        <is>
          <t>Not started</t>
        </is>
      </c>
      <c r="G8" s="4" t="inlineStr"/>
      <c r="H8" s="4" t="inlineStr"/>
      <c r="I8" s="4" t="inlineStr"/>
      <c r="J8" s="4" t="inlineStr"/>
    </row>
    <row r="9">
      <c r="A9" s="4" t="inlineStr">
        <is>
          <t>2.5</t>
        </is>
      </c>
      <c r="B9" s="4" t="inlineStr">
        <is>
          <t>Plaque Quantification</t>
        </is>
      </c>
      <c r="C9" s="4" t="inlineStr">
        <is>
          <t>See Gate 3 — core quantitative criteria</t>
        </is>
      </c>
      <c r="D9" s="4" t="inlineStr">
        <is>
          <t>Paired CTA vs. PCCT comparison</t>
        </is>
      </c>
      <c r="E9" s="4" t="inlineStr"/>
      <c r="F9" s="5" t="inlineStr">
        <is>
          <t>Not started</t>
        </is>
      </c>
      <c r="G9" s="4" t="inlineStr"/>
      <c r="H9" s="4" t="inlineStr"/>
      <c r="I9" s="4" t="inlineStr"/>
      <c r="J9" s="4" t="inlineStr"/>
    </row>
    <row r="10">
      <c r="A10" s="4" t="inlineStr">
        <is>
          <t>2.6</t>
        </is>
      </c>
      <c r="B10" s="4" t="inlineStr">
        <is>
          <t>Report Generation</t>
        </is>
      </c>
      <c r="C10" s="4" t="inlineStr">
        <is>
          <t>All required fields populated; no missing-data warnings</t>
        </is>
      </c>
      <c r="D10" s="4" t="inlineStr">
        <is>
          <t>ECR review in physician viewer and PDF reports for N ≥ 10 cases; use ones Carolyn already did</t>
        </is>
      </c>
      <c r="E10" s="4" t="inlineStr"/>
      <c r="F10" s="5" t="inlineStr">
        <is>
          <t>Not started</t>
        </is>
      </c>
      <c r="G10" s="4" t="inlineStr"/>
      <c r="H10" s="4" t="inlineStr"/>
      <c r="I10" s="4" t="inlineStr"/>
      <c r="J10" s="4" t="inlineStr"/>
    </row>
  </sheetData>
  <autoFilter ref="A4:J10"/>
  <mergeCells count="2">
    <mergeCell ref="A1:J1"/>
    <mergeCell ref="A2:J2"/>
  </mergeCells>
  <conditionalFormatting sqref="F5:F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3">
      <formula>"Not started"</formula>
    </cfRule>
  </conditionalFormatting>
  <dataValidations count="1">
    <dataValidation sqref="F5 F6 F7 F8 F9 F10" showDropDown="0" showInputMessage="0" showErrorMessage="0" allowBlank="1" errorTitle="Invalid Status" error="Please select a valid status" type="list">
      <formula1>"Not started,In progress,Pass,Fail,Blocked"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16" customWidth="1" min="5" max="5"/>
    <col width="14" customWidth="1" min="6" max="6"/>
    <col width="30" customWidth="1" min="7" max="7"/>
    <col width="28" customWidth="1" min="8" max="8"/>
    <col width="16" customWidth="1" min="9" max="9"/>
    <col width="36" customWidth="1" min="10" max="10"/>
  </cols>
  <sheetData>
    <row r="1">
      <c r="A1" s="6" t="inlineStr">
        <is>
          <t>Gate 3 — Core Quantitative Reproducibility (Paired CTA vs. PCCT)</t>
        </is>
      </c>
    </row>
    <row r="2">
      <c r="A2" s="2" t="inlineStr">
        <is>
          <t>Performance — wCV from un-edited output, manual centerline for N ≥ 30. All thresholds must pass.</t>
        </is>
      </c>
    </row>
    <row r="4">
      <c r="A4" s="3" t="inlineStr">
        <is>
          <t>ID</t>
        </is>
      </c>
      <c r="B4" s="3" t="inlineStr">
        <is>
          <t>Criterion</t>
        </is>
      </c>
      <c r="C4" s="3" t="inlineStr">
        <is>
          <t>Threshold</t>
        </is>
      </c>
      <c r="D4" s="3" t="inlineStr">
        <is>
          <t>Method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Evidence Link / Location</t>
        </is>
      </c>
      <c r="H4" s="3" t="inlineStr">
        <is>
          <t>Evidence Description</t>
        </is>
      </c>
      <c r="I4" s="3" t="inlineStr">
        <is>
          <t>Date Completed</t>
        </is>
      </c>
      <c r="J4" s="3" t="inlineStr">
        <is>
          <t>Notes</t>
        </is>
      </c>
    </row>
    <row r="5">
      <c r="A5" s="4" t="inlineStr">
        <is>
          <t>3.1</t>
        </is>
      </c>
      <c r="B5" s="4" t="inlineStr">
        <is>
          <t>Lumen Volume &amp; Vessel Length</t>
        </is>
      </c>
      <c r="C5" s="4" t="inlineStr">
        <is>
          <t>≤ 10% wCV (non-inferiority)</t>
        </is>
      </c>
      <c r="D5" s="4" t="inlineStr">
        <is>
          <t>wCV = (SD of differences / mean) × 100; report 95% CI</t>
        </is>
      </c>
      <c r="E5" s="4" t="inlineStr"/>
      <c r="F5" s="5" t="inlineStr">
        <is>
          <t>Not started</t>
        </is>
      </c>
      <c r="G5" s="4" t="inlineStr"/>
      <c r="H5" s="4" t="inlineStr"/>
      <c r="I5" s="4" t="inlineStr"/>
      <c r="J5" s="4" t="inlineStr"/>
    </row>
    <row r="6">
      <c r="A6" s="4" t="inlineStr">
        <is>
          <t>3.2</t>
        </is>
      </c>
      <c r="B6" s="4" t="inlineStr">
        <is>
          <t>Calcified Plaque Volume</t>
        </is>
      </c>
      <c r="C6" s="4" t="inlineStr">
        <is>
          <t>≤ 20% wCV</t>
        </is>
      </c>
      <c r="D6" s="4" t="inlineStr">
        <is>
          <t>wCV = (SD of differences / mean) × 100; report 95% CI</t>
        </is>
      </c>
      <c r="E6" s="4" t="inlineStr"/>
      <c r="F6" s="5" t="inlineStr">
        <is>
          <t>Not started</t>
        </is>
      </c>
      <c r="G6" s="4" t="inlineStr"/>
      <c r="H6" s="4" t="inlineStr"/>
      <c r="I6" s="4" t="inlineStr"/>
      <c r="J6" s="4" t="inlineStr"/>
    </row>
    <row r="7">
      <c r="A7" s="4" t="inlineStr">
        <is>
          <t>3.3</t>
        </is>
      </c>
      <c r="B7" s="4" t="inlineStr">
        <is>
          <t>Wall Volume</t>
        </is>
      </c>
      <c r="C7" s="4" t="inlineStr">
        <is>
          <t>≤ 30% wCV</t>
        </is>
      </c>
      <c r="D7" s="4" t="inlineStr">
        <is>
          <t>wCV = (SD of differences / mean) × 100; report 95% CI</t>
        </is>
      </c>
      <c r="E7" s="4" t="inlineStr"/>
      <c r="F7" s="5" t="inlineStr">
        <is>
          <t>Not started</t>
        </is>
      </c>
      <c r="G7" s="4" t="inlineStr"/>
      <c r="H7" s="4" t="inlineStr"/>
      <c r="I7" s="4" t="inlineStr"/>
      <c r="J7" s="4" t="inlineStr"/>
    </row>
    <row r="8">
      <c r="A8" s="4" t="inlineStr">
        <is>
          <t>3.4</t>
        </is>
      </c>
      <c r="B8" s="4" t="inlineStr">
        <is>
          <t>Total Plaque Volume</t>
        </is>
      </c>
      <c r="C8" s="4" t="inlineStr">
        <is>
          <t>≤ 30% wCV</t>
        </is>
      </c>
      <c r="D8" s="4" t="inlineStr">
        <is>
          <t>wCV = (SD of differences / mean) × 100; report 95% CI</t>
        </is>
      </c>
      <c r="E8" s="4" t="inlineStr"/>
      <c r="F8" s="5" t="inlineStr">
        <is>
          <t>Not started</t>
        </is>
      </c>
      <c r="G8" s="4" t="inlineStr"/>
      <c r="H8" s="4" t="inlineStr"/>
      <c r="I8" s="4" t="inlineStr"/>
      <c r="J8" s="4" t="inlineStr"/>
    </row>
  </sheetData>
  <autoFilter ref="A4:J8"/>
  <mergeCells count="2">
    <mergeCell ref="A1:J1"/>
    <mergeCell ref="A2:J2"/>
  </mergeCells>
  <conditionalFormatting sqref="F5:F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3">
      <formula>"Not started"</formula>
    </cfRule>
  </conditionalFormatting>
  <dataValidations count="1">
    <dataValidation sqref="F5 F6 F7 F8 F9 F10" showDropDown="0" showInputMessage="0" showErrorMessage="0" allowBlank="1" errorTitle="Invalid Status" error="Please select a valid status" type="list">
      <formula1>"Not started,In progress,Pass,Fail,Blocked"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16" customWidth="1" min="5" max="5"/>
    <col width="14" customWidth="1" min="6" max="6"/>
    <col width="30" customWidth="1" min="7" max="7"/>
    <col width="28" customWidth="1" min="8" max="8"/>
    <col width="16" customWidth="1" min="9" max="9"/>
    <col width="36" customWidth="1" min="10" max="10"/>
  </cols>
  <sheetData>
    <row r="1">
      <c r="A1" s="6" t="inlineStr">
        <is>
          <t>Gate 4 — Systematic Bias &amp; Agreement</t>
        </is>
      </c>
    </row>
    <row r="2">
      <c r="A2" s="2" t="inlineStr">
        <is>
          <t>Performance — Flag for clinical review on failure; may restrict use to specific indications</t>
        </is>
      </c>
    </row>
    <row r="4">
      <c r="A4" s="3" t="inlineStr">
        <is>
          <t>ID</t>
        </is>
      </c>
      <c r="B4" s="3" t="inlineStr">
        <is>
          <t>Criterion</t>
        </is>
      </c>
      <c r="C4" s="3" t="inlineStr">
        <is>
          <t>Threshold</t>
        </is>
      </c>
      <c r="D4" s="3" t="inlineStr">
        <is>
          <t>Method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Evidence Link / Location</t>
        </is>
      </c>
      <c r="H4" s="3" t="inlineStr">
        <is>
          <t>Evidence Description</t>
        </is>
      </c>
      <c r="I4" s="3" t="inlineStr">
        <is>
          <t>Date Completed</t>
        </is>
      </c>
      <c r="J4" s="3" t="inlineStr">
        <is>
          <t>Notes</t>
        </is>
      </c>
    </row>
    <row r="5">
      <c r="A5" s="4" t="inlineStr">
        <is>
          <t>4.1</t>
        </is>
      </c>
      <c r="B5" s="4" t="inlineStr">
        <is>
          <t>Mean Bias — Lumen Volume</t>
        </is>
      </c>
      <c r="C5" s="4" t="inlineStr">
        <is>
          <t>|bias| &lt; 5% of mean lumen volume</t>
        </is>
      </c>
      <c r="D5" s="4" t="inlineStr">
        <is>
          <t>Bland-Altman plot; report LoA</t>
        </is>
      </c>
      <c r="E5" s="4" t="inlineStr"/>
      <c r="F5" s="5" t="inlineStr">
        <is>
          <t>Not started</t>
        </is>
      </c>
      <c r="G5" s="4" t="inlineStr"/>
      <c r="H5" s="4" t="inlineStr"/>
      <c r="I5" s="4" t="inlineStr"/>
      <c r="J5" s="4" t="inlineStr"/>
    </row>
    <row r="6">
      <c r="A6" s="4" t="inlineStr">
        <is>
          <t>4.2</t>
        </is>
      </c>
      <c r="B6" s="4" t="inlineStr">
        <is>
          <t>Mean Bias — Calcified Plaque</t>
        </is>
      </c>
      <c r="C6" s="4" t="inlineStr">
        <is>
          <t>|bias| &lt; 10% of mean calc volume</t>
        </is>
      </c>
      <c r="D6" s="4" t="inlineStr">
        <is>
          <t>Bland-Altman plot; proportional bias test</t>
        </is>
      </c>
      <c r="E6" s="4" t="inlineStr"/>
      <c r="F6" s="5" t="inlineStr">
        <is>
          <t>Not started</t>
        </is>
      </c>
      <c r="G6" s="4" t="inlineStr"/>
      <c r="H6" s="4" t="inlineStr"/>
      <c r="I6" s="4" t="inlineStr"/>
      <c r="J6" s="4" t="inlineStr"/>
    </row>
    <row r="7">
      <c r="A7" s="4" t="inlineStr">
        <is>
          <t>4.3</t>
        </is>
      </c>
      <c r="B7" s="4" t="inlineStr">
        <is>
          <t>Limits of Agreement</t>
        </is>
      </c>
      <c r="C7" s="4" t="inlineStr">
        <is>
          <t>LoA within ±1.96 SD; no proportional bias (r² &lt; 0.1)</t>
        </is>
      </c>
      <c r="D7" s="4" t="inlineStr">
        <is>
          <t>Regress residuals on mean</t>
        </is>
      </c>
      <c r="E7" s="4" t="inlineStr"/>
      <c r="F7" s="5" t="inlineStr">
        <is>
          <t>Not started</t>
        </is>
      </c>
      <c r="G7" s="4" t="inlineStr"/>
      <c r="H7" s="4" t="inlineStr"/>
      <c r="I7" s="4" t="inlineStr"/>
      <c r="J7" s="4" t="inlineStr"/>
    </row>
  </sheetData>
  <autoFilter ref="A4:J7"/>
  <mergeCells count="2">
    <mergeCell ref="A1:J1"/>
    <mergeCell ref="A2:J2"/>
  </mergeCells>
  <conditionalFormatting sqref="F5:F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3">
      <formula>"Not started"</formula>
    </cfRule>
  </conditionalFormatting>
  <dataValidations count="1">
    <dataValidation sqref="F5 F6 F7 F8 F9 F10" showDropDown="0" showInputMessage="0" showErrorMessage="0" allowBlank="1" errorTitle="Invalid Status" error="Please select a valid status" type="list">
      <formula1>"Not started,In progress,Pass,Fail,Blocked"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16" customWidth="1" min="5" max="5"/>
    <col width="14" customWidth="1" min="6" max="6"/>
    <col width="30" customWidth="1" min="7" max="7"/>
    <col width="28" customWidth="1" min="8" max="8"/>
    <col width="16" customWidth="1" min="9" max="9"/>
    <col width="36" customWidth="1" min="10" max="10"/>
  </cols>
  <sheetData>
    <row r="1">
      <c r="A1" s="6" t="inlineStr">
        <is>
          <t>Advisory — Contextual &amp; Operational Checks</t>
        </is>
      </c>
    </row>
    <row r="2">
      <c r="A2" s="2" t="inlineStr">
        <is>
          <t>Inform labelling and use restrictions; do not block qualification</t>
        </is>
      </c>
    </row>
    <row r="4">
      <c r="A4" s="3" t="inlineStr">
        <is>
          <t>ID</t>
        </is>
      </c>
      <c r="B4" s="3" t="inlineStr">
        <is>
          <t>Criterion</t>
        </is>
      </c>
      <c r="C4" s="3" t="inlineStr">
        <is>
          <t>Threshold</t>
        </is>
      </c>
      <c r="D4" s="3" t="inlineStr">
        <is>
          <t>Method</t>
        </is>
      </c>
      <c r="E4" s="3" t="inlineStr">
        <is>
          <t>Owner</t>
        </is>
      </c>
      <c r="F4" s="3" t="inlineStr">
        <is>
          <t>Status</t>
        </is>
      </c>
      <c r="G4" s="3" t="inlineStr">
        <is>
          <t>Evidence Link / Location</t>
        </is>
      </c>
      <c r="H4" s="3" t="inlineStr">
        <is>
          <t>Evidence Description</t>
        </is>
      </c>
      <c r="I4" s="3" t="inlineStr">
        <is>
          <t>Date Completed</t>
        </is>
      </c>
      <c r="J4" s="3" t="inlineStr">
        <is>
          <t>Notes</t>
        </is>
      </c>
    </row>
    <row r="5">
      <c r="A5" s="4" t="inlineStr">
        <is>
          <t>A.1</t>
        </is>
      </c>
      <c r="B5" s="4" t="inlineStr">
        <is>
          <t>HU Calibration Stability</t>
        </is>
      </c>
      <c r="C5" s="4" t="inlineStr">
        <is>
          <t>Verify 130 HU threshold valid; map spectral to conventional HU if needed</t>
        </is>
      </c>
      <c r="D5" s="4" t="inlineStr">
        <is>
          <t>Scanner calibration review</t>
        </is>
      </c>
      <c r="E5" s="4" t="inlineStr"/>
      <c r="F5" s="5" t="inlineStr">
        <is>
          <t>Not started</t>
        </is>
      </c>
      <c r="G5" s="4" t="inlineStr"/>
      <c r="H5" s="4" t="inlineStr"/>
      <c r="I5" s="4" t="inlineStr"/>
      <c r="J5" s="4" t="inlineStr"/>
    </row>
    <row r="6">
      <c r="A6" s="4" t="inlineStr">
        <is>
          <t>A.2</t>
        </is>
      </c>
      <c r="B6" s="4" t="inlineStr">
        <is>
          <t>Radiation Dose</t>
        </is>
      </c>
      <c r="C6" s="4" t="inlineStr">
        <is>
          <t>Document DLP/CTDI; no dose increase that offsets clinical utility</t>
        </is>
      </c>
      <c r="D6" s="4" t="inlineStr">
        <is>
          <t>Protocol dose comparison</t>
        </is>
      </c>
      <c r="E6" s="4" t="inlineStr"/>
      <c r="F6" s="5" t="inlineStr">
        <is>
          <t>Not started</t>
        </is>
      </c>
      <c r="G6" s="4" t="inlineStr"/>
      <c r="H6" s="4" t="inlineStr"/>
      <c r="I6" s="4" t="inlineStr"/>
      <c r="J6" s="4" t="inlineStr"/>
    </row>
    <row r="7">
      <c r="A7" s="4" t="inlineStr">
        <is>
          <t>A.3</t>
        </is>
      </c>
      <c r="B7" s="4" t="inlineStr">
        <is>
          <t>Patient Subgroup Stratification</t>
        </is>
      </c>
      <c r="C7" s="4" t="inlineStr">
        <is>
          <t>Report wCV by calcium burden and BMI</t>
        </is>
      </c>
      <c r="D7" s="4" t="inlineStr">
        <is>
          <t>Subgroup heterogeneity analysis</t>
        </is>
      </c>
      <c r="E7" s="4" t="inlineStr"/>
      <c r="F7" s="5" t="inlineStr">
        <is>
          <t>Not started</t>
        </is>
      </c>
      <c r="G7" s="4" t="inlineStr"/>
      <c r="H7" s="4" t="inlineStr"/>
      <c r="I7" s="4" t="inlineStr"/>
      <c r="J7" s="4" t="inlineStr"/>
    </row>
    <row r="8">
      <c r="A8" s="4" t="inlineStr">
        <is>
          <t>A.4</t>
        </is>
      </c>
      <c r="B8" s="4" t="inlineStr">
        <is>
          <t>Reader/Operator Variability</t>
        </is>
      </c>
      <c r="C8" s="4" t="inlineStr">
        <is>
          <t>Inter-reader editing variability within expected range</t>
        </is>
      </c>
      <c r="D8" s="4" t="inlineStr">
        <is>
          <t>Second analyst completes N = 10 Carolyn already did</t>
        </is>
      </c>
      <c r="E8" s="4" t="inlineStr"/>
      <c r="F8" s="5" t="inlineStr">
        <is>
          <t>Not started</t>
        </is>
      </c>
      <c r="G8" s="4" t="inlineStr"/>
      <c r="H8" s="4" t="inlineStr"/>
      <c r="I8" s="4" t="inlineStr"/>
      <c r="J8" s="4" t="inlineStr"/>
    </row>
    <row r="9">
      <c r="A9" s="4" t="inlineStr">
        <is>
          <t>A.5</t>
        </is>
      </c>
      <c r="B9" s="4" t="inlineStr">
        <is>
          <t>Compatibility with Ongoing Projects</t>
        </is>
      </c>
      <c r="C9" s="4" t="inlineStr">
        <is>
          <t>No new failure modes with AVTE/AWAL</t>
        </is>
      </c>
      <c r="D9" s="4" t="inlineStr">
        <is>
          <t>Regression testing</t>
        </is>
      </c>
      <c r="E9" s="4" t="inlineStr"/>
      <c r="F9" s="5" t="inlineStr">
        <is>
          <t>Not started</t>
        </is>
      </c>
      <c r="G9" s="4" t="inlineStr"/>
      <c r="H9" s="4" t="inlineStr"/>
      <c r="I9" s="4" t="inlineStr"/>
      <c r="J9" s="4" t="inlineStr"/>
    </row>
    <row r="10">
      <c r="A10" s="4" t="inlineStr">
        <is>
          <t>A.6</t>
        </is>
      </c>
      <c r="B10" s="4" t="inlineStr">
        <is>
          <t>Software Version Lock</t>
        </is>
      </c>
      <c r="C10" s="4" t="inlineStr">
        <is>
          <t>Qualify against plaque algos ≥ Nov 2025; re-qualify on major updates</t>
        </is>
      </c>
      <c r="D10" s="4" t="inlineStr">
        <is>
          <t>Version documentation</t>
        </is>
      </c>
      <c r="E10" s="4" t="inlineStr"/>
      <c r="F10" s="5" t="inlineStr">
        <is>
          <t>Not started</t>
        </is>
      </c>
      <c r="G10" s="4" t="inlineStr"/>
      <c r="H10" s="4" t="inlineStr"/>
      <c r="I10" s="4" t="inlineStr"/>
      <c r="J10" s="4" t="inlineStr"/>
    </row>
  </sheetData>
  <autoFilter ref="A4:J10"/>
  <mergeCells count="2">
    <mergeCell ref="A1:J1"/>
    <mergeCell ref="A2:J2"/>
  </mergeCells>
  <conditionalFormatting sqref="F5:F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 progress"</formula>
    </cfRule>
    <cfRule type="cellIs" priority="4" operator="equal" dxfId="1">
      <formula>"Blocked"</formula>
    </cfRule>
    <cfRule type="cellIs" priority="5" operator="equal" dxfId="3">
      <formula>"Not started"</formula>
    </cfRule>
  </conditionalFormatting>
  <dataValidations count="1">
    <dataValidation sqref="F5 F6 F7 F8 F9 F10" showDropDown="0" showInputMessage="0" showErrorMessage="0" allowBlank="1" errorTitle="Invalid Status" error="Please select a valid status" type="list">
      <formula1>"Not started,In progress,Pass,Fail,Blocked"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2026-04-08T15:08:31Z</dcterms:created>
  <dcterms:modified xmlns:dcterms="http://purl.org/dc/terms/" xmlns:xsi="http://www.w3.org/2001/XMLSchema-instance" xsi:type="dcterms:W3CDTF">2026-04-08T15:08:31Z</dcterms:modified>
</cp:coreProperties>
</file>